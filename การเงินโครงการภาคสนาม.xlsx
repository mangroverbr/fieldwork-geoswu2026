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rryhihi/Documents/ภาควิชา/โครงการ/ภาคสนาม/20-22 APR_prachuap/"/>
    </mc:Choice>
  </mc:AlternateContent>
  <xr:revisionPtr revIDLastSave="0" documentId="13_ncr:1_{56D72C3E-A9DE-C142-B9FF-0D0C16E2A3BD}" xr6:coauthVersionLast="47" xr6:coauthVersionMax="47" xr10:uidLastSave="{00000000-0000-0000-0000-000000000000}"/>
  <bookViews>
    <workbookView xWindow="0" yWindow="500" windowWidth="28800" windowHeight="16380" xr2:uid="{2C7776D5-B823-ED4F-9016-CF11E207F422}"/>
  </bookViews>
  <sheets>
    <sheet name="การเงิน" sheetId="1" r:id="rId1"/>
    <sheet name="รายชื่อนิสิต" sheetId="2" r:id="rId2"/>
    <sheet name="รายชื่ออาจารย์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J4" i="1"/>
  <c r="J6" i="1"/>
  <c r="J2" i="1"/>
  <c r="H4" i="1"/>
  <c r="C5" i="1"/>
  <c r="H5" i="1" s="1"/>
  <c r="I5" i="1" s="1"/>
  <c r="F6" i="1"/>
  <c r="G6" i="1" s="1"/>
  <c r="J5" i="1" l="1"/>
  <c r="H6" i="1"/>
  <c r="I6" i="1"/>
  <c r="F12" i="1"/>
  <c r="F7" i="1"/>
  <c r="G7" i="1" s="1"/>
  <c r="F8" i="1"/>
  <c r="H7" i="1" l="1"/>
  <c r="J7" i="1"/>
  <c r="I7" i="1"/>
  <c r="I10" i="1"/>
  <c r="F2" i="1"/>
  <c r="G2" i="1" s="1"/>
  <c r="I2" i="1" s="1"/>
  <c r="F9" i="1"/>
  <c r="G9" i="1" s="1"/>
  <c r="J9" i="1" s="1"/>
  <c r="G8" i="1"/>
  <c r="J8" i="1" s="1"/>
  <c r="F4" i="1"/>
  <c r="G4" i="1" s="1"/>
  <c r="I4" i="1" s="1"/>
  <c r="J11" i="1" l="1"/>
  <c r="H9" i="1"/>
  <c r="I9" i="1"/>
  <c r="H8" i="1"/>
  <c r="I8" i="1" s="1"/>
  <c r="I11" i="1" s="1"/>
  <c r="H11" i="1"/>
  <c r="F11" i="1"/>
  <c r="F13" i="1" s="1"/>
  <c r="G11" i="1" l="1"/>
</calcChain>
</file>

<file path=xl/sharedStrings.xml><?xml version="1.0" encoding="utf-8"?>
<sst xmlns="http://schemas.openxmlformats.org/spreadsheetml/2006/main" count="50" uniqueCount="38">
  <si>
    <t>จำนวน</t>
  </si>
  <si>
    <t>ราคา</t>
  </si>
  <si>
    <t>หน่วย</t>
  </si>
  <si>
    <t>เป็นเงิน</t>
  </si>
  <si>
    <t xml:space="preserve">ผู้ช่วยศาสตราจารย์ ดร.ชูเดช  </t>
  </si>
  <si>
    <t xml:space="preserve">ผู้ช่วยศาสตราจารย์กัลยาณี  </t>
  </si>
  <si>
    <t xml:space="preserve">ผู้ช่วยศาสตราจารย์ ดร.สถาพร  </t>
  </si>
  <si>
    <t>ผู้ช่วยศาสตราจารย์ ดร.ปกรณ์</t>
  </si>
  <si>
    <t>ผู้ช่วยศาสตราจารย์ ดร.วุฒิชัย</t>
  </si>
  <si>
    <t>อาจารย์ ดร.สุธาทิพย์</t>
  </si>
  <si>
    <t xml:space="preserve">อาจารย์ ดร.ธีรเวทย์ </t>
  </si>
  <si>
    <t>ผู้ช่วยศาสตราจารย์ ดร.อสมาภรณ์</t>
  </si>
  <si>
    <t>อาจารย์จิราวัฒน์</t>
  </si>
  <si>
    <t>ผู้ช่วยศาสตราจารย์ ดร.ชมชนก</t>
  </si>
  <si>
    <t>รวมทั้งสิ้น</t>
  </si>
  <si>
    <t>รายการ</t>
  </si>
  <si>
    <t>เบิกได้</t>
  </si>
  <si>
    <t>จ่ายจริง</t>
  </si>
  <si>
    <t>ส่วนต่าง</t>
  </si>
  <si>
    <t>วิทยากร</t>
  </si>
  <si>
    <t>ทิปคนขับ</t>
  </si>
  <si>
    <t>ห้อง</t>
  </si>
  <si>
    <t>ปี 1</t>
  </si>
  <si>
    <t>ปี 2</t>
  </si>
  <si>
    <t>ปี 3</t>
  </si>
  <si>
    <t>ปี 4</t>
  </si>
  <si>
    <t>ลำดับ</t>
  </si>
  <si>
    <t>รหัสนิสิต</t>
  </si>
  <si>
    <t>ชื่อ - สกุล</t>
  </si>
  <si>
    <t>ใบเสร็จ</t>
  </si>
  <si>
    <t>5. ค่าจ้างเหมารถตู้โดยสารปรับอากาศ จำนวน 1 คัน</t>
  </si>
  <si>
    <t>3. ค่าตอบแทนวิทยากร 
(จำนวน 8 คน x 2,400 บาท)</t>
  </si>
  <si>
    <t xml:space="preserve">วันที่ 20 - 23 พค 69 </t>
  </si>
  <si>
    <t>4. ค่าจ้างเหมารถบัสโดยสารปรับอากาศ จำนวน 7 คัน</t>
  </si>
  <si>
    <t>taxi</t>
  </si>
  <si>
    <t>อาหารเช้าพี่ติ๊ก</t>
  </si>
  <si>
    <t xml:space="preserve">1. ค่าที่พักพักคู่ </t>
  </si>
  <si>
    <t xml:space="preserve">2. ค่าอาหารไม่ครบมื้อ (400 บาท x 4 วัน x 272 คน)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</si>
</sst>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family val="2"/>
      <scheme val="minor"/>
    </font>
    <font>
      <sz val="18"/>
      <color theme="1"/>
      <name val="THSarabunNew"/>
    </font>
    <font>
      <sz val="18"/>
      <color theme="1"/>
      <name val="Aptos Narrow"/>
      <family val="2"/>
      <scheme val="minor"/>
    </font>
    <font>
      <sz val="18"/>
      <color theme="1"/>
      <name val="TH Sarabun New"/>
      <family val="2"/>
    </font>
    <font>
      <b/>
      <sz val="18"/>
      <color rgb="FF000000"/>
      <name val="THSarabunNew"/>
    </font>
    <font>
      <b/>
      <sz val="18"/>
      <color theme="1"/>
      <name val="THSarabunNew"/>
    </font>
    <font>
      <sz val="16"/>
      <color theme="1"/>
      <name val="TH SarabunPSK"/>
      <family val="2"/>
    </font>
    <font>
      <b/>
      <sz val="10"/>
      <color rgb="FF0000FF"/>
      <name val="Sarabun"/>
    </font>
    <font>
      <b/>
      <sz val="18"/>
      <color rgb="FFFF0000"/>
      <name val="THSarabunNew"/>
    </font>
    <font>
      <sz val="18"/>
      <color rgb="FFFF0000"/>
      <name val="THSarabunNew"/>
    </font>
    <font>
      <sz val="18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3" fontId="0" fillId="0" borderId="0" xfId="0" applyNumberFormat="1"/>
    <xf numFmtId="3" fontId="6" fillId="0" borderId="0" xfId="0" applyNumberFormat="1" applyFont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3" fontId="7" fillId="0" borderId="0" xfId="0" applyNumberFormat="1" applyFont="1" applyAlignment="1">
      <alignment horizontal="center" vertical="top"/>
    </xf>
    <xf numFmtId="0" fontId="9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0" fillId="0" borderId="0" xfId="0" applyFont="1"/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3" fontId="2" fillId="0" borderId="0" xfId="0" applyNumberFormat="1" applyFont="1"/>
    <xf numFmtId="0" fontId="5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A3515-0352-4B41-919B-CECAB6617B41}">
  <dimension ref="B1:P27"/>
  <sheetViews>
    <sheetView tabSelected="1" topLeftCell="A4" zoomScale="150" zoomScaleNormal="43" workbookViewId="0">
      <selection activeCell="J12" sqref="J12"/>
    </sheetView>
  </sheetViews>
  <sheetFormatPr baseColWidth="10" defaultRowHeight="24"/>
  <cols>
    <col min="1" max="1" width="7.33203125" style="2" customWidth="1"/>
    <col min="2" max="2" width="42" style="33" customWidth="1"/>
    <col min="3" max="5" width="10.83203125" style="2"/>
    <col min="6" max="6" width="15.83203125" style="2" customWidth="1"/>
    <col min="7" max="7" width="10.83203125" style="2"/>
    <col min="8" max="8" width="9.33203125" style="2" customWidth="1"/>
    <col min="9" max="9" width="10.83203125" style="2"/>
    <col min="10" max="10" width="12.1640625" style="2" bestFit="1" customWidth="1"/>
    <col min="11" max="16384" width="10.83203125" style="2"/>
  </cols>
  <sheetData>
    <row r="1" spans="2:16" ht="28">
      <c r="B1" s="29" t="s">
        <v>15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16</v>
      </c>
      <c r="H1" s="6" t="s">
        <v>17</v>
      </c>
      <c r="I1" s="6" t="s">
        <v>18</v>
      </c>
      <c r="J1" s="2" t="s">
        <v>29</v>
      </c>
      <c r="N1" s="3"/>
      <c r="P1" s="3"/>
    </row>
    <row r="2" spans="2:16" ht="28">
      <c r="B2" s="11" t="s">
        <v>36</v>
      </c>
      <c r="C2" s="1">
        <v>272</v>
      </c>
      <c r="D2" s="1">
        <v>500</v>
      </c>
      <c r="E2" s="1">
        <v>3</v>
      </c>
      <c r="F2" s="1">
        <f>C2*D2*E2</f>
        <v>408000</v>
      </c>
      <c r="G2" s="1">
        <f>F2</f>
        <v>408000</v>
      </c>
      <c r="H2" s="1">
        <v>408000</v>
      </c>
      <c r="I2" s="7">
        <f>G2-H2</f>
        <v>0</v>
      </c>
      <c r="J2" s="1">
        <f>H2</f>
        <v>408000</v>
      </c>
      <c r="N2" s="3"/>
      <c r="P2" s="3"/>
    </row>
    <row r="3" spans="2:16" ht="56">
      <c r="B3" s="11" t="s">
        <v>37</v>
      </c>
      <c r="C3" s="1"/>
      <c r="D3" s="1"/>
      <c r="E3" s="1"/>
      <c r="F3" s="1"/>
      <c r="G3" s="1"/>
      <c r="H3" s="1"/>
      <c r="I3" s="7"/>
      <c r="N3" s="3"/>
      <c r="P3" s="3"/>
    </row>
    <row r="4" spans="2:16" ht="28">
      <c r="B4" s="30" t="s">
        <v>32</v>
      </c>
      <c r="C4" s="1">
        <v>272</v>
      </c>
      <c r="D4" s="1">
        <v>360</v>
      </c>
      <c r="E4" s="1">
        <v>4</v>
      </c>
      <c r="F4" s="1">
        <f>C4*D4*E4</f>
        <v>391680</v>
      </c>
      <c r="G4" s="1">
        <f t="shared" ref="G4:G11" si="0">F4</f>
        <v>391680</v>
      </c>
      <c r="H4" s="1">
        <f>108800+163200+40800+40800</f>
        <v>353600</v>
      </c>
      <c r="I4" s="7">
        <f>G4-H4</f>
        <v>38080</v>
      </c>
      <c r="J4" s="1">
        <f>108800+163200+40800+40800</f>
        <v>353600</v>
      </c>
      <c r="N4" s="3"/>
      <c r="P4" s="3"/>
    </row>
    <row r="5" spans="2:16" ht="28">
      <c r="B5" s="30" t="s">
        <v>35</v>
      </c>
      <c r="C5" s="1">
        <f>272</f>
        <v>272</v>
      </c>
      <c r="D5" s="1">
        <v>100</v>
      </c>
      <c r="E5" s="1">
        <v>1</v>
      </c>
      <c r="F5" s="1"/>
      <c r="G5" s="1"/>
      <c r="H5" s="1">
        <f>C5*D5</f>
        <v>27200</v>
      </c>
      <c r="I5" s="7">
        <f>G5-H5</f>
        <v>-27200</v>
      </c>
      <c r="J5" s="1">
        <f>H5</f>
        <v>27200</v>
      </c>
      <c r="N5" s="3"/>
      <c r="P5" s="3"/>
    </row>
    <row r="6" spans="2:16" ht="28">
      <c r="B6" s="30" t="s">
        <v>34</v>
      </c>
      <c r="C6" s="1">
        <v>12</v>
      </c>
      <c r="D6" s="1">
        <v>500</v>
      </c>
      <c r="E6" s="1">
        <v>2</v>
      </c>
      <c r="F6" s="1">
        <f>C6*D6*E6</f>
        <v>12000</v>
      </c>
      <c r="G6" s="1">
        <f>F6</f>
        <v>12000</v>
      </c>
      <c r="H6" s="1">
        <f>G6</f>
        <v>12000</v>
      </c>
      <c r="I6" s="7">
        <f>G6-H6</f>
        <v>0</v>
      </c>
      <c r="J6" s="1">
        <f>G6</f>
        <v>12000</v>
      </c>
      <c r="N6" s="3"/>
      <c r="P6" s="3"/>
    </row>
    <row r="7" spans="2:16" ht="56">
      <c r="B7" s="11" t="s">
        <v>31</v>
      </c>
      <c r="C7" s="1">
        <v>8</v>
      </c>
      <c r="D7" s="1">
        <v>800</v>
      </c>
      <c r="E7" s="1">
        <v>3</v>
      </c>
      <c r="F7" s="1">
        <f>C7*D7*E7</f>
        <v>19200</v>
      </c>
      <c r="G7" s="1">
        <f>F7</f>
        <v>19200</v>
      </c>
      <c r="H7" s="1">
        <f>G7</f>
        <v>19200</v>
      </c>
      <c r="I7" s="7">
        <f>G7-H7</f>
        <v>0</v>
      </c>
      <c r="J7" s="1">
        <f>G7</f>
        <v>19200</v>
      </c>
    </row>
    <row r="8" spans="2:16" ht="56">
      <c r="B8" s="30" t="s">
        <v>33</v>
      </c>
      <c r="C8" s="1">
        <v>7</v>
      </c>
      <c r="D8" s="1">
        <v>10000</v>
      </c>
      <c r="E8" s="1">
        <v>4</v>
      </c>
      <c r="F8" s="1">
        <f>C8*D8*E8</f>
        <v>280000</v>
      </c>
      <c r="G8" s="1">
        <f t="shared" si="0"/>
        <v>280000</v>
      </c>
      <c r="H8" s="1">
        <f>G8</f>
        <v>280000</v>
      </c>
      <c r="I8" s="7">
        <f t="shared" ref="I8:I10" si="1">G8-H8</f>
        <v>0</v>
      </c>
      <c r="J8" s="1">
        <f>G8</f>
        <v>280000</v>
      </c>
    </row>
    <row r="9" spans="2:16" ht="57" customHeight="1">
      <c r="B9" s="30" t="s">
        <v>30</v>
      </c>
      <c r="C9" s="1">
        <v>1</v>
      </c>
      <c r="D9" s="1">
        <v>3000</v>
      </c>
      <c r="E9" s="1">
        <v>4</v>
      </c>
      <c r="F9" s="1">
        <f>C9*D9*E9</f>
        <v>12000</v>
      </c>
      <c r="G9" s="1">
        <f t="shared" si="0"/>
        <v>12000</v>
      </c>
      <c r="H9" s="1">
        <f>G9</f>
        <v>12000</v>
      </c>
      <c r="I9" s="7">
        <f t="shared" si="1"/>
        <v>0</v>
      </c>
      <c r="J9" s="1">
        <f>G9</f>
        <v>12000</v>
      </c>
    </row>
    <row r="10" spans="2:16" s="16" customFormat="1" ht="57" customHeight="1">
      <c r="B10" s="31" t="s">
        <v>20</v>
      </c>
      <c r="C10" s="14">
        <v>6</v>
      </c>
      <c r="D10" s="14">
        <v>1000</v>
      </c>
      <c r="E10" s="14"/>
      <c r="F10" s="14"/>
      <c r="G10" s="14">
        <v>0</v>
      </c>
      <c r="H10" s="14">
        <v>6000</v>
      </c>
      <c r="I10" s="15">
        <f t="shared" si="1"/>
        <v>-6000</v>
      </c>
    </row>
    <row r="11" spans="2:16" ht="27">
      <c r="B11" s="32"/>
      <c r="C11" s="1"/>
      <c r="D11" s="1"/>
      <c r="E11" s="4" t="s">
        <v>14</v>
      </c>
      <c r="F11" s="5">
        <f>SUM(F2:F10)</f>
        <v>1122880</v>
      </c>
      <c r="G11" s="1">
        <f t="shared" si="0"/>
        <v>1122880</v>
      </c>
      <c r="H11" s="1">
        <f>SUM(H2:H8)</f>
        <v>1100000</v>
      </c>
      <c r="I11" s="7">
        <f>SUM(I2:I10)</f>
        <v>4880</v>
      </c>
      <c r="J11" s="2">
        <f>SUM(J2:J10)</f>
        <v>1112000</v>
      </c>
    </row>
    <row r="12" spans="2:16">
      <c r="F12" s="13">
        <f>(120+100+60+10)*4000</f>
        <v>1160000</v>
      </c>
      <c r="J12" s="2">
        <f>F11-J11</f>
        <v>10880</v>
      </c>
    </row>
    <row r="13" spans="2:16">
      <c r="F13" s="28">
        <f>F12-F11</f>
        <v>37120</v>
      </c>
    </row>
    <row r="14" spans="2:16" ht="27">
      <c r="N14" s="3"/>
    </row>
    <row r="16" spans="2:16">
      <c r="B16" s="34"/>
      <c r="C16" s="10"/>
      <c r="D16" s="8"/>
      <c r="E16"/>
      <c r="F16"/>
      <c r="G16"/>
      <c r="H16"/>
      <c r="I16"/>
      <c r="J16"/>
    </row>
    <row r="17" spans="2:10">
      <c r="B17" s="34"/>
      <c r="C17"/>
      <c r="D17"/>
      <c r="E17"/>
      <c r="F17"/>
      <c r="G17"/>
      <c r="H17"/>
    </row>
    <row r="18" spans="2:10">
      <c r="B18" s="34"/>
      <c r="C18" s="10"/>
      <c r="D18" s="8"/>
      <c r="E18"/>
      <c r="F18"/>
      <c r="G18"/>
      <c r="H18"/>
    </row>
    <row r="19" spans="2:10">
      <c r="B19" s="34"/>
      <c r="C19"/>
      <c r="D19"/>
      <c r="E19"/>
      <c r="F19"/>
      <c r="G19"/>
      <c r="H19"/>
    </row>
    <row r="20" spans="2:10">
      <c r="B20" s="34"/>
      <c r="C20" s="10"/>
      <c r="D20" s="8"/>
      <c r="E20"/>
      <c r="F20"/>
      <c r="G20"/>
      <c r="H20"/>
    </row>
    <row r="21" spans="2:10">
      <c r="B21" s="34"/>
      <c r="C21"/>
      <c r="D21"/>
      <c r="E21"/>
      <c r="F21"/>
      <c r="G21"/>
      <c r="H21"/>
    </row>
    <row r="22" spans="2:10">
      <c r="B22" s="34"/>
      <c r="C22"/>
      <c r="D22"/>
      <c r="E22"/>
      <c r="F22"/>
      <c r="G22"/>
      <c r="H22"/>
      <c r="I22"/>
      <c r="J22"/>
    </row>
    <row r="23" spans="2:10">
      <c r="B23" s="34"/>
      <c r="C23" s="10"/>
      <c r="D23"/>
      <c r="E23"/>
      <c r="H23"/>
      <c r="I23"/>
      <c r="J23"/>
    </row>
    <row r="24" spans="2:10">
      <c r="B24" s="34"/>
      <c r="C24" s="8"/>
      <c r="D24"/>
      <c r="E24"/>
      <c r="H24"/>
      <c r="I24"/>
      <c r="J24"/>
    </row>
    <row r="25" spans="2:10">
      <c r="B25" s="34"/>
      <c r="C25" s="10"/>
      <c r="D25" s="8"/>
      <c r="E25"/>
      <c r="H25"/>
      <c r="I25"/>
      <c r="J25"/>
    </row>
    <row r="26" spans="2:10">
      <c r="B26" s="34"/>
      <c r="C26" s="10"/>
      <c r="D26" s="8"/>
      <c r="E26"/>
      <c r="H26"/>
      <c r="I26"/>
      <c r="J26"/>
    </row>
    <row r="27" spans="2:10">
      <c r="B27" s="35"/>
      <c r="C27" s="9"/>
      <c r="D27"/>
      <c r="F27"/>
      <c r="G27"/>
      <c r="H27"/>
      <c r="I27"/>
      <c r="J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BB00E-E1F1-FF47-B414-CD93A3448968}">
  <dimension ref="A1:O21"/>
  <sheetViews>
    <sheetView zoomScale="132" workbookViewId="0">
      <selection activeCell="H20" sqref="H20"/>
    </sheetView>
  </sheetViews>
  <sheetFormatPr baseColWidth="10" defaultRowHeight="16"/>
  <sheetData>
    <row r="1" spans="1:15" ht="27">
      <c r="A1" s="17" t="s">
        <v>22</v>
      </c>
      <c r="B1" s="17"/>
      <c r="C1" s="18"/>
      <c r="D1" s="19" t="s">
        <v>23</v>
      </c>
      <c r="E1" s="20"/>
      <c r="F1" s="21"/>
      <c r="G1" s="22" t="s">
        <v>24</v>
      </c>
      <c r="H1" s="23"/>
      <c r="I1" s="24"/>
      <c r="J1" s="25" t="s">
        <v>25</v>
      </c>
      <c r="K1" s="26"/>
      <c r="L1" s="27"/>
      <c r="M1" s="19" t="s">
        <v>19</v>
      </c>
      <c r="N1" s="20"/>
      <c r="O1" s="21"/>
    </row>
    <row r="2" spans="1:15" ht="27">
      <c r="A2" s="7" t="s">
        <v>26</v>
      </c>
      <c r="B2" s="1" t="s">
        <v>27</v>
      </c>
      <c r="C2" s="1" t="s">
        <v>28</v>
      </c>
      <c r="D2" s="7" t="s">
        <v>26</v>
      </c>
      <c r="E2" s="1" t="s">
        <v>27</v>
      </c>
      <c r="F2" s="1" t="s">
        <v>28</v>
      </c>
      <c r="G2" s="7" t="s">
        <v>26</v>
      </c>
      <c r="H2" s="1" t="s">
        <v>27</v>
      </c>
      <c r="I2" s="1" t="s">
        <v>28</v>
      </c>
      <c r="J2" s="7" t="s">
        <v>26</v>
      </c>
      <c r="K2" s="1" t="s">
        <v>27</v>
      </c>
      <c r="L2" s="1" t="s">
        <v>28</v>
      </c>
      <c r="M2" s="7" t="s">
        <v>26</v>
      </c>
      <c r="N2" s="1" t="s">
        <v>27</v>
      </c>
      <c r="O2" s="1" t="s">
        <v>28</v>
      </c>
    </row>
    <row r="3" spans="1:15">
      <c r="A3" s="12">
        <v>1</v>
      </c>
      <c r="B3" s="12"/>
      <c r="C3" s="12"/>
      <c r="D3" s="12">
        <v>1</v>
      </c>
      <c r="E3" s="12"/>
      <c r="F3" s="12"/>
      <c r="G3" s="12">
        <v>1</v>
      </c>
      <c r="H3" s="12"/>
      <c r="I3" s="12"/>
      <c r="J3" s="12">
        <v>1</v>
      </c>
      <c r="K3" s="12"/>
      <c r="L3" s="12"/>
      <c r="M3" s="12">
        <v>1</v>
      </c>
      <c r="N3" s="12"/>
      <c r="O3" s="12"/>
    </row>
    <row r="4" spans="1:15">
      <c r="A4" s="12">
        <v>2</v>
      </c>
      <c r="B4" s="12"/>
      <c r="C4" s="12"/>
      <c r="D4" s="12">
        <v>2</v>
      </c>
      <c r="E4" s="12"/>
      <c r="F4" s="12"/>
      <c r="G4" s="12">
        <v>2</v>
      </c>
      <c r="H4" s="12"/>
      <c r="I4" s="12"/>
      <c r="J4" s="12">
        <v>2</v>
      </c>
      <c r="K4" s="12"/>
      <c r="L4" s="12"/>
      <c r="M4" s="12">
        <v>2</v>
      </c>
      <c r="N4" s="12"/>
      <c r="O4" s="12"/>
    </row>
    <row r="5" spans="1:15">
      <c r="A5" s="12">
        <v>3</v>
      </c>
      <c r="B5" s="12"/>
      <c r="C5" s="12"/>
      <c r="D5" s="12">
        <v>3</v>
      </c>
      <c r="E5" s="12"/>
      <c r="F5" s="12"/>
      <c r="G5" s="12">
        <v>3</v>
      </c>
      <c r="H5" s="12"/>
      <c r="I5" s="12"/>
      <c r="J5" s="12">
        <v>3</v>
      </c>
      <c r="K5" s="12"/>
      <c r="L5" s="12"/>
      <c r="M5" s="12">
        <v>3</v>
      </c>
      <c r="N5" s="12"/>
      <c r="O5" s="12"/>
    </row>
    <row r="6" spans="1:15">
      <c r="A6" s="12">
        <v>4</v>
      </c>
      <c r="B6" s="12"/>
      <c r="C6" s="12"/>
      <c r="D6" s="12">
        <v>4</v>
      </c>
      <c r="E6" s="12"/>
      <c r="F6" s="12"/>
      <c r="G6" s="12">
        <v>4</v>
      </c>
      <c r="H6" s="12"/>
      <c r="I6" s="12"/>
      <c r="J6" s="12">
        <v>4</v>
      </c>
      <c r="K6" s="12"/>
      <c r="L6" s="12"/>
      <c r="M6" s="12">
        <v>4</v>
      </c>
      <c r="N6" s="12"/>
      <c r="O6" s="12"/>
    </row>
    <row r="7" spans="1:15">
      <c r="A7" s="12">
        <v>5</v>
      </c>
      <c r="B7" s="12"/>
      <c r="C7" s="12"/>
      <c r="D7" s="12">
        <v>5</v>
      </c>
      <c r="E7" s="12"/>
      <c r="F7" s="12"/>
      <c r="G7" s="12">
        <v>5</v>
      </c>
      <c r="H7" s="12"/>
      <c r="I7" s="12"/>
      <c r="J7" s="12">
        <v>5</v>
      </c>
      <c r="K7" s="12"/>
      <c r="L7" s="12"/>
      <c r="M7" s="12">
        <v>5</v>
      </c>
      <c r="N7" s="12"/>
      <c r="O7" s="12"/>
    </row>
    <row r="8" spans="1:15">
      <c r="A8" s="12">
        <v>6</v>
      </c>
      <c r="B8" s="12"/>
      <c r="C8" s="12"/>
      <c r="D8" s="12">
        <v>6</v>
      </c>
      <c r="E8" s="12"/>
      <c r="F8" s="12"/>
      <c r="G8" s="12">
        <v>6</v>
      </c>
      <c r="H8" s="12"/>
      <c r="I8" s="12"/>
      <c r="J8" s="12">
        <v>6</v>
      </c>
      <c r="K8" s="12"/>
      <c r="L8" s="12"/>
      <c r="M8" s="12">
        <v>6</v>
      </c>
      <c r="N8" s="12"/>
      <c r="O8" s="12"/>
    </row>
    <row r="9" spans="1:15">
      <c r="A9" s="12">
        <v>7</v>
      </c>
      <c r="B9" s="12"/>
      <c r="C9" s="12"/>
      <c r="D9" s="12">
        <v>7</v>
      </c>
      <c r="E9" s="12"/>
      <c r="F9" s="12"/>
      <c r="G9" s="12">
        <v>7</v>
      </c>
      <c r="H9" s="12"/>
      <c r="I9" s="12"/>
      <c r="J9" s="12">
        <v>7</v>
      </c>
      <c r="K9" s="12"/>
      <c r="L9" s="12"/>
      <c r="M9" s="12">
        <v>7</v>
      </c>
      <c r="N9" s="12"/>
      <c r="O9" s="12"/>
    </row>
    <row r="10" spans="1:15">
      <c r="A10" s="12">
        <v>8</v>
      </c>
      <c r="B10" s="12"/>
      <c r="C10" s="12"/>
      <c r="D10" s="12">
        <v>8</v>
      </c>
      <c r="E10" s="12"/>
      <c r="F10" s="12"/>
      <c r="G10" s="12">
        <v>8</v>
      </c>
      <c r="H10" s="12"/>
      <c r="I10" s="12"/>
      <c r="J10" s="12">
        <v>8</v>
      </c>
      <c r="K10" s="12"/>
      <c r="L10" s="12"/>
      <c r="M10" s="12">
        <v>8</v>
      </c>
      <c r="N10" s="12"/>
      <c r="O10" s="12"/>
    </row>
    <row r="11" spans="1:15">
      <c r="A11" s="12">
        <v>9</v>
      </c>
      <c r="B11" s="12"/>
      <c r="C11" s="12"/>
      <c r="D11" s="12">
        <v>9</v>
      </c>
      <c r="E11" s="12"/>
      <c r="F11" s="12"/>
      <c r="G11" s="12">
        <v>9</v>
      </c>
      <c r="H11" s="12"/>
      <c r="I11" s="12"/>
      <c r="J11" s="12">
        <v>9</v>
      </c>
      <c r="K11" s="12"/>
      <c r="L11" s="12"/>
      <c r="M11" s="12"/>
      <c r="N11" s="12"/>
      <c r="O11" s="12"/>
    </row>
    <row r="12" spans="1:15">
      <c r="A12" s="12">
        <v>10</v>
      </c>
      <c r="B12" s="12"/>
      <c r="C12" s="12"/>
      <c r="D12" s="12">
        <v>10</v>
      </c>
      <c r="E12" s="12"/>
      <c r="F12" s="12"/>
      <c r="G12" s="12">
        <v>10</v>
      </c>
      <c r="H12" s="12"/>
      <c r="I12" s="12"/>
      <c r="J12" s="12">
        <v>10</v>
      </c>
      <c r="K12" s="12"/>
      <c r="L12" s="12"/>
      <c r="M12" s="12"/>
      <c r="N12" s="12"/>
      <c r="O12" s="12"/>
    </row>
    <row r="13" spans="1:15">
      <c r="A13" s="12">
        <v>11</v>
      </c>
      <c r="B13" s="12"/>
      <c r="C13" s="12"/>
      <c r="D13" s="12">
        <v>11</v>
      </c>
      <c r="E13" s="12"/>
      <c r="F13" s="12"/>
      <c r="G13" s="12">
        <v>11</v>
      </c>
      <c r="H13" s="12"/>
      <c r="I13" s="12"/>
      <c r="J13" s="12">
        <v>11</v>
      </c>
      <c r="K13" s="12"/>
      <c r="L13" s="12"/>
      <c r="M13" s="12"/>
      <c r="N13" s="12"/>
      <c r="O13" s="12"/>
    </row>
    <row r="14" spans="1:15">
      <c r="A14" s="12">
        <v>12</v>
      </c>
      <c r="B14" s="12"/>
      <c r="C14" s="12"/>
      <c r="D14" s="12">
        <v>12</v>
      </c>
      <c r="E14" s="12"/>
      <c r="F14" s="12"/>
      <c r="G14" s="12">
        <v>12</v>
      </c>
      <c r="H14" s="12"/>
      <c r="I14" s="12"/>
      <c r="J14" s="12">
        <v>12</v>
      </c>
      <c r="K14" s="12"/>
      <c r="L14" s="12"/>
      <c r="M14" s="12"/>
      <c r="N14" s="12"/>
      <c r="O14" s="12"/>
    </row>
    <row r="15" spans="1:15">
      <c r="A15" s="12">
        <v>13</v>
      </c>
      <c r="B15" s="12"/>
      <c r="C15" s="12"/>
      <c r="D15" s="12">
        <v>13</v>
      </c>
      <c r="E15" s="12"/>
      <c r="F15" s="12"/>
      <c r="G15" s="12">
        <v>13</v>
      </c>
      <c r="H15" s="12"/>
      <c r="I15" s="12"/>
      <c r="J15" s="12">
        <v>13</v>
      </c>
      <c r="K15" s="12"/>
      <c r="L15" s="12"/>
      <c r="M15" s="12"/>
      <c r="N15" s="12"/>
      <c r="O15" s="12"/>
    </row>
    <row r="16" spans="1:15">
      <c r="A16" s="12">
        <v>14</v>
      </c>
      <c r="B16" s="12"/>
      <c r="C16" s="12"/>
      <c r="D16" s="12">
        <v>14</v>
      </c>
      <c r="E16" s="12"/>
      <c r="F16" s="12"/>
      <c r="G16" s="12">
        <v>14</v>
      </c>
      <c r="H16" s="12"/>
      <c r="I16" s="12"/>
      <c r="J16" s="12">
        <v>14</v>
      </c>
      <c r="K16" s="12"/>
      <c r="L16" s="12"/>
      <c r="M16" s="12"/>
      <c r="N16" s="12"/>
      <c r="O16" s="12"/>
    </row>
    <row r="17" spans="1:15">
      <c r="A17" s="12">
        <v>15</v>
      </c>
      <c r="B17" s="12"/>
      <c r="C17" s="12"/>
      <c r="D17" s="12">
        <v>15</v>
      </c>
      <c r="E17" s="12"/>
      <c r="F17" s="12"/>
      <c r="G17" s="12">
        <v>15</v>
      </c>
      <c r="H17" s="12"/>
      <c r="I17" s="12"/>
      <c r="J17" s="12">
        <v>15</v>
      </c>
      <c r="K17" s="12"/>
      <c r="L17" s="12"/>
      <c r="M17" s="12"/>
      <c r="N17" s="12"/>
      <c r="O17" s="12"/>
    </row>
    <row r="18" spans="1:15">
      <c r="A18" s="12">
        <v>16</v>
      </c>
      <c r="B18" s="12"/>
      <c r="C18" s="12"/>
      <c r="D18" s="12">
        <v>16</v>
      </c>
      <c r="E18" s="12"/>
      <c r="F18" s="12"/>
      <c r="G18" s="12">
        <v>16</v>
      </c>
      <c r="H18" s="12"/>
      <c r="I18" s="12"/>
      <c r="J18" s="12">
        <v>16</v>
      </c>
      <c r="K18" s="12"/>
      <c r="L18" s="12"/>
      <c r="M18" s="12"/>
      <c r="N18" s="12"/>
      <c r="O18" s="12"/>
    </row>
    <row r="19" spans="1:15">
      <c r="A19" s="12">
        <v>17</v>
      </c>
      <c r="B19" s="12"/>
      <c r="C19" s="12"/>
      <c r="D19" s="12">
        <v>17</v>
      </c>
      <c r="E19" s="12"/>
      <c r="F19" s="12"/>
      <c r="G19" s="12">
        <v>17</v>
      </c>
      <c r="H19" s="12"/>
      <c r="I19" s="12"/>
      <c r="J19" s="12">
        <v>17</v>
      </c>
      <c r="K19" s="12"/>
      <c r="L19" s="12"/>
      <c r="M19" s="12"/>
      <c r="N19" s="12"/>
      <c r="O19" s="12"/>
    </row>
    <row r="20" spans="1:15">
      <c r="A20" s="12">
        <v>18</v>
      </c>
      <c r="B20" s="12"/>
      <c r="C20" s="12"/>
      <c r="D20" s="12">
        <v>18</v>
      </c>
      <c r="E20" s="12"/>
      <c r="F20" s="12"/>
      <c r="G20" s="12">
        <v>18</v>
      </c>
      <c r="H20" s="12"/>
      <c r="I20" s="12"/>
      <c r="J20" s="12">
        <v>18</v>
      </c>
      <c r="K20" s="12"/>
      <c r="L20" s="12"/>
      <c r="M20" s="12"/>
      <c r="N20" s="12"/>
      <c r="O20" s="12"/>
    </row>
    <row r="21" spans="1:15">
      <c r="A21" s="12">
        <v>19</v>
      </c>
      <c r="B21" s="12"/>
      <c r="C21" s="12"/>
      <c r="D21" s="12">
        <v>19</v>
      </c>
      <c r="E21" s="12"/>
      <c r="F21" s="12"/>
      <c r="G21" s="12">
        <v>19</v>
      </c>
      <c r="H21" s="12"/>
      <c r="I21" s="12"/>
      <c r="J21" s="12">
        <v>19</v>
      </c>
      <c r="K21" s="12"/>
      <c r="L21" s="12"/>
      <c r="M21" s="12"/>
      <c r="N21" s="12"/>
      <c r="O21" s="12"/>
    </row>
  </sheetData>
  <mergeCells count="5">
    <mergeCell ref="A1:C1"/>
    <mergeCell ref="D1:F1"/>
    <mergeCell ref="G1:I1"/>
    <mergeCell ref="J1:L1"/>
    <mergeCell ref="M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9B092-ABCC-6C44-BB86-3554C4109CE4}">
  <dimension ref="A1:C6"/>
  <sheetViews>
    <sheetView workbookViewId="0">
      <selection activeCell="C9" sqref="C9"/>
    </sheetView>
  </sheetViews>
  <sheetFormatPr baseColWidth="10" defaultRowHeight="16"/>
  <cols>
    <col min="2" max="2" width="36.1640625" customWidth="1"/>
    <col min="3" max="3" width="27.83203125" customWidth="1"/>
  </cols>
  <sheetData>
    <row r="1" spans="1:3">
      <c r="A1" t="s">
        <v>21</v>
      </c>
    </row>
    <row r="2" spans="1:3" ht="27">
      <c r="A2" s="2">
        <v>1</v>
      </c>
      <c r="B2" s="3" t="s">
        <v>4</v>
      </c>
      <c r="C2" s="3" t="s">
        <v>6</v>
      </c>
    </row>
    <row r="3" spans="1:3" ht="27">
      <c r="A3" s="2">
        <v>2</v>
      </c>
      <c r="B3" s="3" t="s">
        <v>7</v>
      </c>
      <c r="C3" s="3" t="s">
        <v>8</v>
      </c>
    </row>
    <row r="4" spans="1:3" ht="27">
      <c r="A4" s="2">
        <v>3</v>
      </c>
      <c r="B4" s="3" t="s">
        <v>9</v>
      </c>
      <c r="C4" s="3" t="s">
        <v>13</v>
      </c>
    </row>
    <row r="5" spans="1:3" ht="27">
      <c r="A5" s="2">
        <v>4</v>
      </c>
      <c r="B5" s="3" t="s">
        <v>10</v>
      </c>
      <c r="C5" s="3" t="s">
        <v>12</v>
      </c>
    </row>
    <row r="6" spans="1:3" ht="27">
      <c r="A6" s="2">
        <v>5</v>
      </c>
      <c r="B6" s="3" t="s">
        <v>11</v>
      </c>
      <c r="C6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การเงิน</vt:lpstr>
      <vt:lpstr>รายชื่อนิสิต</vt:lpstr>
      <vt:lpstr>รายชื่ออาจารย์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Cherry Sitthi</dc:creator>
  <cp:lastModifiedBy>Cherry Sitthi</cp:lastModifiedBy>
  <dcterms:created xsi:type="dcterms:W3CDTF">2026-03-10T03:37:43Z</dcterms:created>
  <dcterms:modified xsi:type="dcterms:W3CDTF">2026-04-29T08:19:34Z</dcterms:modified>
</cp:coreProperties>
</file>